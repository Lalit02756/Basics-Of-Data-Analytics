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202300"/>
  <xr:revisionPtr revIDLastSave="0" documentId="13_ncr:41000001_{9DAEB71A-BC98-E540-A8C9-A94DA0DF479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6" i="1"/>
  <c r="H10" i="1"/>
  <c r="H14" i="1"/>
  <c r="H18" i="1"/>
  <c r="H22" i="1"/>
  <c r="H26" i="1"/>
  <c r="H30" i="1"/>
  <c r="H34" i="1"/>
  <c r="H38" i="1"/>
  <c r="H42" i="1"/>
  <c r="H46" i="1"/>
  <c r="H50" i="1"/>
  <c r="C60" i="1"/>
  <c r="H3" i="1"/>
  <c r="H4" i="1"/>
  <c r="H5" i="1"/>
  <c r="H7" i="1"/>
  <c r="H8" i="1"/>
  <c r="H9" i="1"/>
  <c r="H11" i="1"/>
  <c r="H12" i="1"/>
  <c r="H13" i="1"/>
  <c r="H15" i="1"/>
  <c r="H16" i="1"/>
  <c r="H17" i="1"/>
  <c r="H19" i="1"/>
  <c r="H20" i="1"/>
  <c r="H21" i="1"/>
  <c r="H23" i="1"/>
  <c r="H24" i="1"/>
  <c r="H25" i="1"/>
  <c r="H27" i="1"/>
  <c r="H28" i="1"/>
  <c r="H29" i="1"/>
  <c r="H31" i="1"/>
  <c r="H32" i="1"/>
  <c r="H33" i="1"/>
  <c r="H35" i="1"/>
  <c r="H36" i="1"/>
  <c r="H37" i="1"/>
  <c r="H39" i="1"/>
  <c r="H40" i="1"/>
  <c r="H41" i="1"/>
  <c r="H43" i="1"/>
  <c r="H44" i="1"/>
  <c r="H45" i="1"/>
  <c r="H47" i="1"/>
  <c r="H48" i="1"/>
  <c r="H49" i="1"/>
  <c r="H51" i="1"/>
  <c r="C59" i="1"/>
  <c r="C58" i="1"/>
  <c r="D100" i="1"/>
  <c r="C93" i="1"/>
  <c r="E76" i="1"/>
  <c r="E75" i="1"/>
  <c r="E87" i="1"/>
  <c r="E88" i="1"/>
  <c r="E86" i="1"/>
  <c r="E82" i="1"/>
  <c r="E83" i="1"/>
  <c r="E81" i="1"/>
  <c r="E74" i="1"/>
</calcChain>
</file>

<file path=xl/sharedStrings.xml><?xml version="1.0" encoding="utf-8"?>
<sst xmlns="http://schemas.openxmlformats.org/spreadsheetml/2006/main" count="221" uniqueCount="113">
  <si>
    <t xml:space="preserve">Order ID </t>
  </si>
  <si>
    <t xml:space="preserve">Customer Name </t>
  </si>
  <si>
    <t>Region</t>
  </si>
  <si>
    <t xml:space="preserve">Product </t>
  </si>
  <si>
    <t xml:space="preserve">Quantity </t>
  </si>
  <si>
    <t>Order Date</t>
  </si>
  <si>
    <t>Per Unit Price</t>
  </si>
  <si>
    <t>13/1/2024</t>
  </si>
  <si>
    <t>15/1/2024</t>
  </si>
  <si>
    <t>17/1/2024</t>
  </si>
  <si>
    <t>18/1/2024</t>
  </si>
  <si>
    <t>19/1/2024</t>
  </si>
  <si>
    <t>20/1/2024</t>
  </si>
  <si>
    <t>22/1/2024</t>
  </si>
  <si>
    <t>23/1/2024</t>
  </si>
  <si>
    <t>24/1/2024</t>
  </si>
  <si>
    <t>26/1/2024</t>
  </si>
  <si>
    <t>28/1/2024</t>
  </si>
  <si>
    <t>29/1/2024</t>
  </si>
  <si>
    <t>30/1/2024</t>
  </si>
  <si>
    <t>13/2/2024</t>
  </si>
  <si>
    <t>14/2/2024</t>
  </si>
  <si>
    <t>16/2/2024</t>
  </si>
  <si>
    <t>17/2/2024</t>
  </si>
  <si>
    <t>18/2/2024</t>
  </si>
  <si>
    <t>19/2/2024</t>
  </si>
  <si>
    <t>21/2/2024</t>
  </si>
  <si>
    <t>22/2/2024</t>
  </si>
  <si>
    <t>23/2/2024</t>
  </si>
  <si>
    <t>25/2/2024</t>
  </si>
  <si>
    <t>26/2/2024</t>
  </si>
  <si>
    <t>27/2/2024</t>
  </si>
  <si>
    <t>28/2/2024</t>
  </si>
  <si>
    <t>Amit Sharma</t>
  </si>
  <si>
    <t xml:space="preserve">Neha Verma </t>
  </si>
  <si>
    <t>Rahul Singh</t>
  </si>
  <si>
    <t>Pooja Mehta</t>
  </si>
  <si>
    <t>Ankit Jain</t>
  </si>
  <si>
    <t>Sneha Patel</t>
  </si>
  <si>
    <t>Vikash Gupta</t>
  </si>
  <si>
    <t>Meera Nair</t>
  </si>
  <si>
    <t>Anjali Rao</t>
  </si>
  <si>
    <t>Manoj Das</t>
  </si>
  <si>
    <t>Ritika Jain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</si>
  <si>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</si>
  <si>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</si>
  <si>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</si>
  <si>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</si>
  <si>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</si>
  <si>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</si>
  <si>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</si>
  <si>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</si>
  <si>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</si>
  <si>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</si>
  <si>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</si>
  <si>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</si>
  <si>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</si>
  <si>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</si>
  <si>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</si>
  <si>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</si>
  <si>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</si>
  <si>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</si>
  <si>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</si>
  <si>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</si>
  <si>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</si>
  <si>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</si>
  <si>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</si>
  <si>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</si>
  <si>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</si>
  <si>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</si>
  <si>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</si>
  <si>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</si>
  <si>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</si>
  <si>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</si>
  <si>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</si>
  <si>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</si>
  <si>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</si>
  <si>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</si>
  <si>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</si>
  <si>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</si>
  <si>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</si>
  <si>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</si>
  <si>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Vivek Malhotra</t>
  </si>
  <si>
    <t>North</t>
  </si>
  <si>
    <t>South</t>
  </si>
  <si>
    <t>East</t>
  </si>
  <si>
    <t>West</t>
  </si>
  <si>
    <t>Pen</t>
  </si>
  <si>
    <t>Pencil</t>
  </si>
  <si>
    <t>Eraser</t>
  </si>
  <si>
    <t>Notebook</t>
  </si>
  <si>
    <t>Marker</t>
  </si>
  <si>
    <t xml:space="preserve">Vehicle </t>
  </si>
  <si>
    <t>Car</t>
  </si>
  <si>
    <t>Bike</t>
  </si>
  <si>
    <t xml:space="preserve">Auto Rickshaw </t>
  </si>
  <si>
    <t>Price</t>
  </si>
  <si>
    <t>Relative</t>
  </si>
  <si>
    <t>Tax</t>
  </si>
  <si>
    <t xml:space="preserve">Absolute </t>
  </si>
  <si>
    <t>Mixed</t>
  </si>
  <si>
    <t>Total Sales</t>
  </si>
  <si>
    <t>Tatal Sales</t>
  </si>
  <si>
    <t>Item</t>
  </si>
  <si>
    <t>Sales</t>
  </si>
  <si>
    <t>Item A</t>
  </si>
  <si>
    <t>Item B</t>
  </si>
  <si>
    <t>Item C</t>
  </si>
  <si>
    <t>Average Sales</t>
  </si>
  <si>
    <t>Count Names</t>
  </si>
  <si>
    <t>North Region Total Sales</t>
  </si>
  <si>
    <t xml:space="preserve">Total Sales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</si>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</sst>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0" fillId="0" borderId="2" xfId="0" applyBorder="1"/>
    <xf numFmtId="9" fontId="0" fillId="0" borderId="1" xfId="0" applyNumberFormat="1" applyBorder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Quantity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Sheet1!$E$2:$E$51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Sheet1!$F$2:$F$51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B073-F24D-BC0E-1E095F3CA65A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Per Unit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Sheet1!$E$2:$E$51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Sheet1!$G$2:$G$51</c:f>
              <c:numCache>
                <c:formatCode>General</c:formatCode>
                <c:ptCount val="50"/>
                <c:pt idx="0">
                  <c:v>50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5</c:v>
                </c:pt>
                <c:pt idx="5">
                  <c:v>50</c:v>
                </c:pt>
                <c:pt idx="6">
                  <c:v>8</c:v>
                </c:pt>
                <c:pt idx="7">
                  <c:v>10</c:v>
                </c:pt>
                <c:pt idx="8">
                  <c:v>25</c:v>
                </c:pt>
                <c:pt idx="9">
                  <c:v>50</c:v>
                </c:pt>
                <c:pt idx="10">
                  <c:v>5</c:v>
                </c:pt>
                <c:pt idx="11">
                  <c:v>8</c:v>
                </c:pt>
                <c:pt idx="12">
                  <c:v>50</c:v>
                </c:pt>
                <c:pt idx="13">
                  <c:v>10</c:v>
                </c:pt>
                <c:pt idx="14">
                  <c:v>25</c:v>
                </c:pt>
                <c:pt idx="15">
                  <c:v>5</c:v>
                </c:pt>
                <c:pt idx="16">
                  <c:v>8</c:v>
                </c:pt>
                <c:pt idx="17">
                  <c:v>50</c:v>
                </c:pt>
                <c:pt idx="18">
                  <c:v>10</c:v>
                </c:pt>
                <c:pt idx="19">
                  <c:v>25</c:v>
                </c:pt>
                <c:pt idx="20">
                  <c:v>50</c:v>
                </c:pt>
                <c:pt idx="21">
                  <c:v>5</c:v>
                </c:pt>
                <c:pt idx="22">
                  <c:v>8</c:v>
                </c:pt>
                <c:pt idx="23">
                  <c:v>50</c:v>
                </c:pt>
                <c:pt idx="24">
                  <c:v>10</c:v>
                </c:pt>
                <c:pt idx="25">
                  <c:v>25</c:v>
                </c:pt>
                <c:pt idx="26">
                  <c:v>5</c:v>
                </c:pt>
                <c:pt idx="27">
                  <c:v>8</c:v>
                </c:pt>
                <c:pt idx="28">
                  <c:v>50</c:v>
                </c:pt>
                <c:pt idx="29">
                  <c:v>10</c:v>
                </c:pt>
                <c:pt idx="30">
                  <c:v>25</c:v>
                </c:pt>
                <c:pt idx="31">
                  <c:v>5</c:v>
                </c:pt>
                <c:pt idx="32">
                  <c:v>8</c:v>
                </c:pt>
                <c:pt idx="33">
                  <c:v>50</c:v>
                </c:pt>
                <c:pt idx="34">
                  <c:v>10</c:v>
                </c:pt>
                <c:pt idx="35">
                  <c:v>25</c:v>
                </c:pt>
                <c:pt idx="36">
                  <c:v>5</c:v>
                </c:pt>
                <c:pt idx="37">
                  <c:v>8</c:v>
                </c:pt>
                <c:pt idx="38">
                  <c:v>50</c:v>
                </c:pt>
                <c:pt idx="39">
                  <c:v>10</c:v>
                </c:pt>
                <c:pt idx="40">
                  <c:v>25</c:v>
                </c:pt>
                <c:pt idx="41">
                  <c:v>5</c:v>
                </c:pt>
                <c:pt idx="42">
                  <c:v>8</c:v>
                </c:pt>
                <c:pt idx="43">
                  <c:v>50</c:v>
                </c:pt>
                <c:pt idx="44">
                  <c:v>10</c:v>
                </c:pt>
                <c:pt idx="45">
                  <c:v>25</c:v>
                </c:pt>
                <c:pt idx="46">
                  <c:v>5</c:v>
                </c:pt>
                <c:pt idx="47">
                  <c:v>8</c:v>
                </c:pt>
                <c:pt idx="48">
                  <c:v>50</c:v>
                </c:pt>
                <c:pt idx="4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B073-F24D-BC0E-1E095F3CA65A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Total Sales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Sheet1!$E$2:$E$51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Sheet1!$H$2:$H$51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B073-F24D-BC0E-1E095F3C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41726544"/>
        <c:axId val="541730576"/>
      </c:barChart>
      <c:catAx>
        <c:axId val="54172654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730576"/>
        <c:crosses val="autoZero"/>
        <c:auto val="1"/>
        <c:lblAlgn val="ctr"/>
        <c:lblOffset val="100"/>
        <c:noMultiLvlLbl val="0"/>
      </c:catAx>
      <c:valAx>
        <c:axId val="54173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72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Quantity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Sheet1!$B$2:$E$51</c:f>
              <c:multiLvlStrCache>
                <c:ptCount val="50"/>
                <c:lvl>
                  <c:pt idx="0">
                    <c:v>Notebook</c:v>
                  </c:pt>
                  <c:pt idx="1">
                    <c:v>Pen</c:v>
                  </c:pt>
                  <c:pt idx="2">
                    <c:v>Marker</c:v>
                  </c:pt>
                  <c:pt idx="3">
                    <c:v>Notebook</c:v>
                  </c:pt>
                  <c:pt idx="4">
                    <c:v>Pencil</c:v>
                  </c:pt>
                  <c:pt idx="5">
                    <c:v>Notebook</c:v>
                  </c:pt>
                  <c:pt idx="6">
                    <c:v>Eraser</c:v>
                  </c:pt>
                  <c:pt idx="7">
                    <c:v>Pen</c:v>
                  </c:pt>
                  <c:pt idx="8">
                    <c:v>Marker</c:v>
                  </c:pt>
                  <c:pt idx="9">
                    <c:v>Notebook</c:v>
                  </c:pt>
                  <c:pt idx="10">
                    <c:v>Pencil</c:v>
                  </c:pt>
                  <c:pt idx="11">
                    <c:v>Eraser</c:v>
                  </c:pt>
                  <c:pt idx="12">
                    <c:v>Notebook</c:v>
                  </c:pt>
                  <c:pt idx="13">
                    <c:v>Pen</c:v>
                  </c:pt>
                  <c:pt idx="14">
                    <c:v>Marker</c:v>
                  </c:pt>
                  <c:pt idx="15">
                    <c:v>Pencil</c:v>
                  </c:pt>
                  <c:pt idx="16">
                    <c:v>Eraser</c:v>
                  </c:pt>
                  <c:pt idx="17">
                    <c:v>Notebook</c:v>
                  </c:pt>
                  <c:pt idx="18">
                    <c:v>Pen</c:v>
                  </c:pt>
                  <c:pt idx="19">
                    <c:v>Marker</c:v>
                  </c:pt>
                  <c:pt idx="20">
                    <c:v>Notebook</c:v>
                  </c:pt>
                  <c:pt idx="21">
                    <c:v>Pencil</c:v>
                  </c:pt>
                  <c:pt idx="22">
                    <c:v>Eraser</c:v>
                  </c:pt>
                  <c:pt idx="23">
                    <c:v>Notebook</c:v>
                  </c:pt>
                  <c:pt idx="24">
                    <c:v>Pen</c:v>
                  </c:pt>
                  <c:pt idx="25">
                    <c:v>Marker</c:v>
                  </c:pt>
                  <c:pt idx="26">
                    <c:v>Pencil</c:v>
                  </c:pt>
                  <c:pt idx="27">
                    <c:v>Eraser</c:v>
                  </c:pt>
                  <c:pt idx="28">
                    <c:v>Notebook</c:v>
                  </c:pt>
                  <c:pt idx="29">
                    <c:v>Pen</c:v>
                  </c:pt>
                  <c:pt idx="30">
                    <c:v>Marker</c:v>
                  </c:pt>
                  <c:pt idx="31">
                    <c:v>Pencil</c:v>
                  </c:pt>
                  <c:pt idx="32">
                    <c:v>Eraser</c:v>
                  </c:pt>
                  <c:pt idx="33">
                    <c:v>Notebook</c:v>
                  </c:pt>
                  <c:pt idx="34">
                    <c:v>Pen</c:v>
                  </c:pt>
                  <c:pt idx="35">
                    <c:v>Marker</c:v>
                  </c:pt>
                  <c:pt idx="36">
                    <c:v>Pencil</c:v>
                  </c:pt>
                  <c:pt idx="37">
                    <c:v>Eraser</c:v>
                  </c:pt>
                  <c:pt idx="38">
                    <c:v>Notebook</c:v>
                  </c:pt>
                  <c:pt idx="39">
                    <c:v>Pen</c:v>
                  </c:pt>
                  <c:pt idx="40">
                    <c:v>Marker</c:v>
                  </c:pt>
                  <c:pt idx="41">
                    <c:v>Pencil</c:v>
                  </c:pt>
                  <c:pt idx="42">
                    <c:v>Eraser</c:v>
                  </c:pt>
                  <c:pt idx="43">
                    <c:v>Notebook</c:v>
                  </c:pt>
                  <c:pt idx="44">
                    <c:v>Pen</c:v>
                  </c:pt>
                  <c:pt idx="45">
                    <c:v>Marker</c:v>
                  </c:pt>
                  <c:pt idx="46">
                    <c:v>Pencil</c:v>
                  </c:pt>
                  <c:pt idx="47">
                    <c:v>Eraser</c:v>
                  </c:pt>
                  <c:pt idx="48">
                    <c:v>Notebook</c:v>
                  </c:pt>
                  <c:pt idx="49">
                    <c:v>Pen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South</c:v>
                  </c:pt>
                  <c:pt idx="6">
                    <c:v>East</c:v>
                  </c:pt>
                  <c:pt idx="7">
                    <c:v>West</c:v>
                  </c:pt>
                  <c:pt idx="8">
                    <c:v>North</c:v>
                  </c:pt>
                  <c:pt idx="9">
                    <c:v>South</c:v>
                  </c:pt>
                  <c:pt idx="10">
                    <c:v>East</c:v>
                  </c:pt>
                  <c:pt idx="11">
                    <c:v>West</c:v>
                  </c:pt>
                  <c:pt idx="12">
                    <c:v>North</c:v>
                  </c:pt>
                  <c:pt idx="13">
                    <c:v>South</c:v>
                  </c:pt>
                  <c:pt idx="14">
                    <c:v>East</c:v>
                  </c:pt>
                  <c:pt idx="15">
                    <c:v>West</c:v>
                  </c:pt>
                  <c:pt idx="16">
                    <c:v>North</c:v>
                  </c:pt>
                  <c:pt idx="17">
                    <c:v>South</c:v>
                  </c:pt>
                  <c:pt idx="18">
                    <c:v>East</c:v>
                  </c:pt>
                  <c:pt idx="19">
                    <c:v>West</c:v>
                  </c:pt>
                  <c:pt idx="20">
                    <c:v>North</c:v>
                  </c:pt>
                  <c:pt idx="21">
                    <c:v>South</c:v>
                  </c:pt>
                  <c:pt idx="22">
                    <c:v>East</c:v>
                  </c:pt>
                  <c:pt idx="23">
                    <c:v>West</c:v>
                  </c:pt>
                  <c:pt idx="24">
                    <c:v>North</c:v>
                  </c:pt>
                  <c:pt idx="25">
                    <c:v>South</c:v>
                  </c:pt>
                  <c:pt idx="26">
                    <c:v>East</c:v>
                  </c:pt>
                  <c:pt idx="27">
                    <c:v>West</c:v>
                  </c:pt>
                  <c:pt idx="28">
                    <c:v>North</c:v>
                  </c:pt>
                  <c:pt idx="29">
                    <c:v>South</c:v>
                  </c:pt>
                  <c:pt idx="30">
                    <c:v>East</c:v>
                  </c:pt>
                  <c:pt idx="31">
                    <c:v>West</c:v>
                  </c:pt>
                  <c:pt idx="32">
                    <c:v>North</c:v>
                  </c:pt>
                  <c:pt idx="33">
                    <c:v>South</c:v>
                  </c:pt>
                  <c:pt idx="34">
                    <c:v>East</c:v>
                  </c:pt>
                  <c:pt idx="35">
                    <c:v>West</c:v>
                  </c:pt>
                  <c:pt idx="36">
                    <c:v>North</c:v>
                  </c:pt>
                  <c:pt idx="37">
                    <c:v>South</c:v>
                  </c:pt>
                  <c:pt idx="38">
                    <c:v>East</c:v>
                  </c:pt>
                  <c:pt idx="39">
                    <c:v>West</c:v>
                  </c:pt>
                  <c:pt idx="40">
                    <c:v>North</c:v>
                  </c:pt>
                  <c:pt idx="41">
                    <c:v>South</c:v>
                  </c:pt>
                  <c:pt idx="42">
                    <c:v>East</c:v>
                  </c:pt>
                  <c:pt idx="43">
                    <c:v>West</c:v>
                  </c:pt>
                  <c:pt idx="44">
                    <c:v>North</c:v>
                  </c:pt>
                  <c:pt idx="45">
                    <c:v>South</c:v>
                  </c:pt>
                  <c:pt idx="46">
                    <c:v>East</c:v>
                  </c:pt>
                  <c:pt idx="47">
                    <c:v>West</c:v>
                  </c:pt>
                  <c:pt idx="48">
                    <c:v>North</c:v>
                  </c:pt>
                  <c:pt idx="49">
                    <c:v>South</c:v>
                  </c:pt>
                </c:lvl>
                <c:lvl>
                  <c:pt idx="0">
                    <c:v>Amit Sharma</c:v>
                  </c:pt>
                  <c:pt idx="1">
                    <c:v>Neha Verma </c:v>
                  </c:pt>
                  <c:pt idx="2">
                    <c:v>Rahul Singh</c:v>
                  </c:pt>
                  <c:pt idx="3">
                    <c:v>Pooja Mehta</c:v>
                  </c:pt>
                  <c:pt idx="4">
                    <c:v>Ankit Jain</c:v>
                  </c:pt>
                  <c:pt idx="5">
                    <c:v>Sneha Patel</c:v>
                  </c:pt>
                  <c:pt idx="6">
                    <c:v>Vikash Gupta</c:v>
                  </c:pt>
                  <c:pt idx="7">
                    <c:v>Meera Nair</c:v>
                  </c:pt>
                  <c:pt idx="8">
                    <c:v>Anjali Rao</c:v>
                  </c:pt>
                  <c:pt idx="9">
                    <c:v>Manoj Das</c:v>
                  </c:pt>
                  <c:pt idx="10">
                    <c:v>Ritika Sen</c:v>
                  </c:pt>
                  <c:pt idx="11">
                    <c:v>Karan Malhotra</c:v>
                  </c:pt>
                  <c:pt idx="12">
                    <c:v>Aryan Joshi</c:v>
                  </c:pt>
                  <c:pt idx="13">
                    <c:v>Divya Kapoor</c:v>
                  </c:pt>
                  <c:pt idx="14">
                    <c:v>Sahil Arora</c:v>
                  </c:pt>
                  <c:pt idx="15">
                    <c:v>Muskan Jain</c:v>
                  </c:pt>
                  <c:pt idx="16">
                    <c:v>Rohan Gupta</c:v>
                  </c:pt>
                  <c:pt idx="17">
                    <c:v>Nidhi Sharma</c:v>
                  </c:pt>
                  <c:pt idx="18">
                    <c:v>Tarun Verma</c:v>
                  </c:pt>
                  <c:pt idx="19">
                    <c:v>Simran Kaur</c:v>
                  </c:pt>
                  <c:pt idx="20">
                    <c:v>Deepak Rao</c:v>
                  </c:pt>
                  <c:pt idx="21">
                    <c:v>Payal Mehta</c:v>
                  </c:pt>
                  <c:pt idx="22">
                    <c:v>Aditya Singh</c:v>
                  </c:pt>
                  <c:pt idx="23">
                    <c:v>Shreya Nair</c:v>
                  </c:pt>
                  <c:pt idx="24">
                    <c:v>Sanjay Kumar</c:v>
                  </c:pt>
                  <c:pt idx="25">
                    <c:v>Aarti Sharma</c:v>
                  </c:pt>
                  <c:pt idx="26">
                    <c:v>Rajesh Patel</c:v>
                  </c:pt>
                  <c:pt idx="27">
                    <c:v>Preeti Joshi</c:v>
                  </c:pt>
                  <c:pt idx="28">
                    <c:v>Anurag Mishra</c:v>
                  </c:pt>
                  <c:pt idx="29">
                    <c:v>Sanya Kapoor</c:v>
                  </c:pt>
                  <c:pt idx="30">
                    <c:v>Harsh Yadav</c:v>
                  </c:pt>
                  <c:pt idx="31">
                    <c:v>Kajal Rani</c:v>
                  </c:pt>
                  <c:pt idx="32">
                    <c:v>Varun Sharma</c:v>
                  </c:pt>
                  <c:pt idx="33">
                    <c:v>Swati Arora</c:v>
                  </c:pt>
                  <c:pt idx="34">
                    <c:v>Akhil Jain</c:v>
                  </c:pt>
                  <c:pt idx="35">
                    <c:v>Priyanka Das</c:v>
                  </c:pt>
                  <c:pt idx="36">
                    <c:v>Ravi Nair</c:v>
                  </c:pt>
                  <c:pt idx="37">
                    <c:v>Komal Singh</c:v>
                  </c:pt>
                  <c:pt idx="38">
                    <c:v>Ayesha Khan</c:v>
                  </c:pt>
                  <c:pt idx="39">
                    <c:v>Arjun Mehta</c:v>
                  </c:pt>
                  <c:pt idx="40">
                    <c:v>Sonali Gupta</c:v>
                  </c:pt>
                  <c:pt idx="41">
                    <c:v>Neeraj Kapoor</c:v>
                  </c:pt>
                  <c:pt idx="42">
                    <c:v>Shruti Sharma</c:v>
                  </c:pt>
                  <c:pt idx="43">
                    <c:v>Yash Arora</c:v>
                  </c:pt>
                  <c:pt idx="44">
                    <c:v>Manish Das</c:v>
                  </c:pt>
                  <c:pt idx="45">
                    <c:v>Rupal Nair</c:v>
                  </c:pt>
                  <c:pt idx="46">
                    <c:v>Sonia Verma</c:v>
                  </c:pt>
                  <c:pt idx="47">
                    <c:v>Kunal Singh</c:v>
                  </c:pt>
                  <c:pt idx="48">
                    <c:v>Ritika Jain</c:v>
                  </c:pt>
                  <c:pt idx="49">
                    <c:v>Vivek Malhotra</c:v>
                  </c:pt>
                </c:lvl>
                <c:lvl>
                  <c:pt idx="0">
                    <c:v>5/1/2024</c:v>
                  </c:pt>
                  <c:pt idx="1">
                    <c:v>6/1/2024</c:v>
                  </c:pt>
                  <c:pt idx="2">
                    <c:v>7/1/2024</c:v>
                  </c:pt>
                  <c:pt idx="3">
                    <c:v>8/1/2024</c:v>
                  </c:pt>
                  <c:pt idx="4">
                    <c:v>10/1/2024</c:v>
                  </c:pt>
                  <c:pt idx="5">
                    <c:v>11/1/2024</c:v>
                  </c:pt>
                  <c:pt idx="6">
                    <c:v>13/1/2024</c:v>
                  </c:pt>
                  <c:pt idx="7">
                    <c:v>15/1/2024</c:v>
                  </c:pt>
                  <c:pt idx="8">
                    <c:v>17/1/2024</c:v>
                  </c:pt>
                  <c:pt idx="9">
                    <c:v>18/1/2024</c:v>
                  </c:pt>
                  <c:pt idx="10">
                    <c:v>19/1/2024</c:v>
                  </c:pt>
                  <c:pt idx="11">
                    <c:v>20/1/2024</c:v>
                  </c:pt>
                  <c:pt idx="12">
                    <c:v>22/1/2024</c:v>
                  </c:pt>
                  <c:pt idx="13">
                    <c:v>23/1/2024</c:v>
                  </c:pt>
                  <c:pt idx="14">
                    <c:v>24/1/2024</c:v>
                  </c:pt>
                  <c:pt idx="15">
                    <c:v>26/1/2024</c:v>
                  </c:pt>
                  <c:pt idx="16">
                    <c:v>28/1/2024</c:v>
                  </c:pt>
                  <c:pt idx="17">
                    <c:v>29/1/2024</c:v>
                  </c:pt>
                  <c:pt idx="18">
                    <c:v>30/1/2024</c:v>
                  </c:pt>
                  <c:pt idx="19">
                    <c:v>1/2/2024</c:v>
                  </c:pt>
                  <c:pt idx="20">
                    <c:v>2/2/2024</c:v>
                  </c:pt>
                  <c:pt idx="21">
                    <c:v>3/2/2024</c:v>
                  </c:pt>
                  <c:pt idx="22">
                    <c:v>4/2/2024</c:v>
                  </c:pt>
                  <c:pt idx="23">
                    <c:v>6/2/2024</c:v>
                  </c:pt>
                  <c:pt idx="24">
                    <c:v>7/2/2024</c:v>
                  </c:pt>
                  <c:pt idx="25">
                    <c:v>8/2/2024</c:v>
                  </c:pt>
                  <c:pt idx="26">
                    <c:v>9/2/2024</c:v>
                  </c:pt>
                  <c:pt idx="27">
                    <c:v>10/2/2024</c:v>
                  </c:pt>
                  <c:pt idx="28">
                    <c:v>12/2/2024</c:v>
                  </c:pt>
                  <c:pt idx="29">
                    <c:v>13/2/2024</c:v>
                  </c:pt>
                  <c:pt idx="30">
                    <c:v>14/2/2024</c:v>
                  </c:pt>
                  <c:pt idx="31">
                    <c:v>16/2/2024</c:v>
                  </c:pt>
                  <c:pt idx="32">
                    <c:v>17/2/2024</c:v>
                  </c:pt>
                  <c:pt idx="33">
                    <c:v>18/2/2024</c:v>
                  </c:pt>
                  <c:pt idx="34">
                    <c:v>19/2/2024</c:v>
                  </c:pt>
                  <c:pt idx="35">
                    <c:v>21/2/2024</c:v>
                  </c:pt>
                  <c:pt idx="36">
                    <c:v>22/2/2024</c:v>
                  </c:pt>
                  <c:pt idx="37">
                    <c:v>23/2/2024</c:v>
                  </c:pt>
                  <c:pt idx="38">
                    <c:v>25/2/2024</c:v>
                  </c:pt>
                  <c:pt idx="39">
                    <c:v>26/2/2024</c:v>
                  </c:pt>
                  <c:pt idx="40">
                    <c:v>27/2/2024</c:v>
                  </c:pt>
                  <c:pt idx="41">
                    <c:v>28/2/2024</c:v>
                  </c:pt>
                  <c:pt idx="42">
                    <c:v>1/3/2024</c:v>
                  </c:pt>
                  <c:pt idx="43">
                    <c:v>2/3/2024</c:v>
                  </c:pt>
                  <c:pt idx="44">
                    <c:v>3/3/2024</c:v>
                  </c:pt>
                  <c:pt idx="45">
                    <c:v>4/3/2024</c:v>
                  </c:pt>
                  <c:pt idx="46">
                    <c:v>5/3/2024</c:v>
                  </c:pt>
                  <c:pt idx="47">
                    <c:v>6/3/2024</c:v>
                  </c:pt>
                  <c:pt idx="48">
                    <c:v>7/3/2024</c:v>
                  </c:pt>
                  <c:pt idx="49">
                    <c:v>8/3/2024</c:v>
                  </c:pt>
                </c:lvl>
              </c:multiLvlStrCache>
            </c:multiLvlStrRef>
          </c:cat>
          <c:val>
            <c:numRef>
              <c:f>Sheet1!$F$2:$F$51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FB-2542-9F47-CDB4CC299E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53354384"/>
        <c:axId val="553365584"/>
      </c:lineChart>
      <c:catAx>
        <c:axId val="55335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365584"/>
        <c:crosses val="autoZero"/>
        <c:auto val="1"/>
        <c:lblAlgn val="ctr"/>
        <c:lblOffset val="100"/>
        <c:noMultiLvlLbl val="0"/>
      </c:catAx>
      <c:valAx>
        <c:axId val="55336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35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227633</xdr:colOff>
      <xdr:row>3</xdr:row>
      <xdr:rowOff>4904</xdr:rowOff>
    </xdr:from>
    <xdr:to>
      <xdr:col>45</xdr:col>
      <xdr:colOff>298738</xdr:colOff>
      <xdr:row>56</xdr:row>
      <xdr:rowOff>64942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9A7417-280F-C1FF-CCEB-5181E1E03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805294</xdr:colOff>
      <xdr:row>57</xdr:row>
      <xdr:rowOff>77935</xdr:rowOff>
    </xdr:from>
    <xdr:to>
      <xdr:col>57</xdr:col>
      <xdr:colOff>350691</xdr:colOff>
      <xdr:row>99</xdr:row>
      <xdr:rowOff>64944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190AE31-837C-C4E2-8C5A-90FF2C810A01}"/>
            </a:ext>
            <a:ext uri="{147F2762-F138-4A5C-976F-8EAC2B608ADB}">
              <a16:predDERef xmlns:a16="http://schemas.microsoft.com/office/drawing/2014/main" pred="{0E9A7417-280F-C1FF-CCEB-5181E1E03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E75A-33EB-A045-A75D-D973EED701E7}">
  <dimension ref="A1:N101"/>
  <sheetViews>
    <sheetView tabSelected="1" zoomScaleNormal="60" zoomScaleSheetLayoutView="100" workbookViewId="0">
      <selection activeCell="G109" sqref="G109"/>
    </sheetView>
  </sheetViews>
  <sheetFormatPr defaultRowHeight="15" x14ac:dyDescent="0.2"/>
  <cols>
    <col min="2" max="2" width="13.71875" customWidth="1"/>
    <col min="3" max="3" width="16.140625" customWidth="1"/>
    <col min="4" max="4" width="10.0859375" customWidth="1"/>
    <col min="5" max="5" width="13.44921875" customWidth="1"/>
    <col min="7" max="7" width="12.77734375" customWidth="1"/>
    <col min="8" max="8" width="13.44921875" customWidth="1"/>
    <col min="11" max="11" width="12.64453125" customWidth="1"/>
  </cols>
  <sheetData>
    <row r="1" spans="1:8" x14ac:dyDescent="0.2">
      <c r="A1" s="6" t="s">
        <v>0</v>
      </c>
      <c r="B1" s="6" t="s">
        <v>5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6</v>
      </c>
      <c r="H1" s="6" t="s">
        <v>111</v>
      </c>
    </row>
    <row r="2" spans="1:8" x14ac:dyDescent="0.2">
      <c r="A2" s="1">
        <v>1001</v>
      </c>
      <c r="B2" s="2">
        <v>45413</v>
      </c>
      <c r="C2" s="1" t="s">
        <v>33</v>
      </c>
      <c r="D2" s="1" t="s">
        <v>83</v>
      </c>
      <c r="E2" s="1" t="s">
        <v>90</v>
      </c>
      <c r="F2" s="1">
        <v>10</v>
      </c>
      <c r="G2" s="1">
        <v>50</v>
      </c>
      <c r="H2" s="1">
        <f>F2*G2</f>
        <v>500</v>
      </c>
    </row>
    <row r="3" spans="1:8" x14ac:dyDescent="0.2">
      <c r="A3" s="1">
        <v>1002</v>
      </c>
      <c r="B3" s="2">
        <v>45444</v>
      </c>
      <c r="C3" s="1" t="s">
        <v>34</v>
      </c>
      <c r="D3" s="1" t="s">
        <v>84</v>
      </c>
      <c r="E3" s="1" t="s">
        <v>87</v>
      </c>
      <c r="F3" s="1">
        <v>20</v>
      </c>
      <c r="G3" s="1">
        <v>10</v>
      </c>
      <c r="H3" s="1">
        <f t="shared" ref="H3:H51" si="0">F3*G3</f>
        <v>200</v>
      </c>
    </row>
    <row r="4" spans="1:8" x14ac:dyDescent="0.2">
      <c r="A4" s="1">
        <v>1003</v>
      </c>
      <c r="B4" s="2">
        <v>45474</v>
      </c>
      <c r="C4" s="1" t="s">
        <v>35</v>
      </c>
      <c r="D4" s="1" t="s">
        <v>85</v>
      </c>
      <c r="E4" s="1" t="s">
        <v>91</v>
      </c>
      <c r="F4" s="1">
        <v>15</v>
      </c>
      <c r="G4" s="1">
        <v>25</v>
      </c>
      <c r="H4" s="1">
        <f t="shared" si="0"/>
        <v>375</v>
      </c>
    </row>
    <row r="5" spans="1:8" x14ac:dyDescent="0.2">
      <c r="A5" s="1">
        <v>1004</v>
      </c>
      <c r="B5" s="2">
        <v>45505</v>
      </c>
      <c r="C5" s="1" t="s">
        <v>36</v>
      </c>
      <c r="D5" s="1" t="s">
        <v>86</v>
      </c>
      <c r="E5" s="1" t="s">
        <v>90</v>
      </c>
      <c r="F5" s="1">
        <v>5</v>
      </c>
      <c r="G5" s="1">
        <v>50</v>
      </c>
      <c r="H5" s="1">
        <f t="shared" si="0"/>
        <v>250</v>
      </c>
    </row>
    <row r="6" spans="1:8" x14ac:dyDescent="0.2">
      <c r="A6" s="1">
        <v>1005</v>
      </c>
      <c r="B6" s="2">
        <v>45566</v>
      </c>
      <c r="C6" s="1" t="s">
        <v>37</v>
      </c>
      <c r="D6" s="1" t="s">
        <v>83</v>
      </c>
      <c r="E6" s="1" t="s">
        <v>88</v>
      </c>
      <c r="F6" s="1">
        <v>30</v>
      </c>
      <c r="G6" s="1">
        <v>5</v>
      </c>
      <c r="H6" s="1">
        <f t="shared" si="0"/>
        <v>150</v>
      </c>
    </row>
    <row r="7" spans="1:8" x14ac:dyDescent="0.2">
      <c r="A7" s="1">
        <v>1006</v>
      </c>
      <c r="B7" s="2">
        <v>45597</v>
      </c>
      <c r="C7" s="1" t="s">
        <v>38</v>
      </c>
      <c r="D7" s="1" t="s">
        <v>84</v>
      </c>
      <c r="E7" s="1" t="s">
        <v>90</v>
      </c>
      <c r="F7" s="1">
        <v>12</v>
      </c>
      <c r="G7" s="1">
        <v>50</v>
      </c>
      <c r="H7" s="1">
        <f t="shared" si="0"/>
        <v>600</v>
      </c>
    </row>
    <row r="8" spans="1:8" x14ac:dyDescent="0.2">
      <c r="A8" s="1">
        <v>1007</v>
      </c>
      <c r="B8" s="5" t="s">
        <v>7</v>
      </c>
      <c r="C8" s="1" t="s">
        <v>39</v>
      </c>
      <c r="D8" s="1" t="s">
        <v>85</v>
      </c>
      <c r="E8" s="1" t="s">
        <v>89</v>
      </c>
      <c r="F8" s="1">
        <v>25</v>
      </c>
      <c r="G8" s="1">
        <v>8</v>
      </c>
      <c r="H8" s="1">
        <f t="shared" si="0"/>
        <v>200</v>
      </c>
    </row>
    <row r="9" spans="1:8" x14ac:dyDescent="0.2">
      <c r="A9" s="1">
        <v>1008</v>
      </c>
      <c r="B9" s="5" t="s">
        <v>8</v>
      </c>
      <c r="C9" s="1" t="s">
        <v>40</v>
      </c>
      <c r="D9" s="1" t="s">
        <v>86</v>
      </c>
      <c r="E9" s="1" t="s">
        <v>87</v>
      </c>
      <c r="F9">
        <v>18</v>
      </c>
      <c r="G9" s="1">
        <v>10</v>
      </c>
      <c r="H9" s="1">
        <f t="shared" si="0"/>
        <v>180</v>
      </c>
    </row>
    <row r="10" spans="1:8" x14ac:dyDescent="0.2">
      <c r="A10" s="1">
        <v>1009</v>
      </c>
      <c r="B10" s="5" t="s">
        <v>9</v>
      </c>
      <c r="C10" s="1" t="s">
        <v>41</v>
      </c>
      <c r="D10" s="1" t="s">
        <v>83</v>
      </c>
      <c r="E10" s="1" t="s">
        <v>91</v>
      </c>
      <c r="F10" s="1">
        <v>22</v>
      </c>
      <c r="G10" s="1">
        <v>25</v>
      </c>
      <c r="H10" s="1">
        <f t="shared" si="0"/>
        <v>550</v>
      </c>
    </row>
    <row r="11" spans="1:8" x14ac:dyDescent="0.2">
      <c r="A11" s="1">
        <v>1010</v>
      </c>
      <c r="B11" s="5" t="s">
        <v>10</v>
      </c>
      <c r="C11" s="1" t="s">
        <v>42</v>
      </c>
      <c r="D11" s="1" t="s">
        <v>84</v>
      </c>
      <c r="E11" s="1" t="s">
        <v>90</v>
      </c>
      <c r="F11" s="1">
        <v>8</v>
      </c>
      <c r="G11" s="1">
        <v>50</v>
      </c>
      <c r="H11" s="1">
        <f t="shared" si="0"/>
        <v>400</v>
      </c>
    </row>
    <row r="12" spans="1:8" x14ac:dyDescent="0.2">
      <c r="A12" s="1">
        <v>1011</v>
      </c>
      <c r="B12" s="5" t="s">
        <v>11</v>
      </c>
      <c r="C12" s="1" t="s">
        <v>44</v>
      </c>
      <c r="D12" s="1" t="s">
        <v>85</v>
      </c>
      <c r="E12" s="1" t="s">
        <v>88</v>
      </c>
      <c r="F12" s="1">
        <v>40</v>
      </c>
      <c r="G12" s="1">
        <v>5</v>
      </c>
      <c r="H12" s="1">
        <f t="shared" si="0"/>
        <v>200</v>
      </c>
    </row>
    <row r="13" spans="1:8" x14ac:dyDescent="0.2">
      <c r="A13" s="1">
        <v>1012</v>
      </c>
      <c r="B13" s="5" t="s">
        <v>12</v>
      </c>
      <c r="C13" s="1" t="s">
        <v>45</v>
      </c>
      <c r="D13" s="1" t="s">
        <v>86</v>
      </c>
      <c r="E13" s="1" t="s">
        <v>89</v>
      </c>
      <c r="F13" s="1">
        <v>35</v>
      </c>
      <c r="G13" s="1">
        <v>8</v>
      </c>
      <c r="H13" s="1">
        <f t="shared" si="0"/>
        <v>280</v>
      </c>
    </row>
    <row r="14" spans="1:8" x14ac:dyDescent="0.2">
      <c r="A14" s="1">
        <v>1013</v>
      </c>
      <c r="B14" s="5" t="s">
        <v>13</v>
      </c>
      <c r="C14" s="1" t="s">
        <v>46</v>
      </c>
      <c r="D14" s="1" t="s">
        <v>83</v>
      </c>
      <c r="E14" s="1" t="s">
        <v>90</v>
      </c>
      <c r="F14" s="1">
        <v>14</v>
      </c>
      <c r="G14" s="1">
        <v>50</v>
      </c>
      <c r="H14" s="1">
        <f t="shared" si="0"/>
        <v>700</v>
      </c>
    </row>
    <row r="15" spans="1:8" x14ac:dyDescent="0.2">
      <c r="A15" s="1">
        <v>1014</v>
      </c>
      <c r="B15" s="5" t="s">
        <v>14</v>
      </c>
      <c r="C15" s="1" t="s">
        <v>47</v>
      </c>
      <c r="D15" s="1" t="s">
        <v>84</v>
      </c>
      <c r="E15" s="1" t="s">
        <v>87</v>
      </c>
      <c r="F15" s="1">
        <v>28</v>
      </c>
      <c r="G15" s="1">
        <v>10</v>
      </c>
      <c r="H15" s="1">
        <f t="shared" si="0"/>
        <v>280</v>
      </c>
    </row>
    <row r="16" spans="1:8" x14ac:dyDescent="0.2">
      <c r="A16" s="1">
        <v>1015</v>
      </c>
      <c r="B16" s="5" t="s">
        <v>15</v>
      </c>
      <c r="C16" s="1" t="s">
        <v>48</v>
      </c>
      <c r="D16" s="1" t="s">
        <v>85</v>
      </c>
      <c r="E16" s="1" t="s">
        <v>91</v>
      </c>
      <c r="F16" s="1">
        <v>12</v>
      </c>
      <c r="G16" s="1">
        <v>25</v>
      </c>
      <c r="H16" s="1">
        <f t="shared" si="0"/>
        <v>300</v>
      </c>
    </row>
    <row r="17" spans="1:8" x14ac:dyDescent="0.2">
      <c r="A17" s="1">
        <v>1016</v>
      </c>
      <c r="B17" s="5" t="s">
        <v>16</v>
      </c>
      <c r="C17" s="1" t="s">
        <v>49</v>
      </c>
      <c r="D17" s="1" t="s">
        <v>86</v>
      </c>
      <c r="E17" s="1" t="s">
        <v>88</v>
      </c>
      <c r="F17" s="1">
        <v>25</v>
      </c>
      <c r="G17" s="1">
        <v>5</v>
      </c>
      <c r="H17" s="1">
        <f t="shared" si="0"/>
        <v>125</v>
      </c>
    </row>
    <row r="18" spans="1:8" x14ac:dyDescent="0.2">
      <c r="A18" s="1">
        <v>1017</v>
      </c>
      <c r="B18" s="5" t="s">
        <v>17</v>
      </c>
      <c r="C18" s="1" t="s">
        <v>50</v>
      </c>
      <c r="D18" s="1" t="s">
        <v>83</v>
      </c>
      <c r="E18" s="1" t="s">
        <v>89</v>
      </c>
      <c r="F18" s="1">
        <v>20</v>
      </c>
      <c r="G18" s="1">
        <v>8</v>
      </c>
      <c r="H18" s="1">
        <f t="shared" si="0"/>
        <v>160</v>
      </c>
    </row>
    <row r="19" spans="1:8" x14ac:dyDescent="0.2">
      <c r="A19" s="1">
        <v>1018</v>
      </c>
      <c r="B19" s="5" t="s">
        <v>18</v>
      </c>
      <c r="C19" s="1" t="s">
        <v>51</v>
      </c>
      <c r="D19" s="1" t="s">
        <v>84</v>
      </c>
      <c r="E19" s="1" t="s">
        <v>90</v>
      </c>
      <c r="F19" s="1">
        <v>10</v>
      </c>
      <c r="G19" s="1">
        <v>50</v>
      </c>
      <c r="H19" s="1">
        <f t="shared" si="0"/>
        <v>500</v>
      </c>
    </row>
    <row r="20" spans="1:8" x14ac:dyDescent="0.2">
      <c r="A20" s="1">
        <v>1019</v>
      </c>
      <c r="B20" s="5" t="s">
        <v>19</v>
      </c>
      <c r="C20" s="1" t="s">
        <v>52</v>
      </c>
      <c r="D20" s="1" t="s">
        <v>85</v>
      </c>
      <c r="E20" s="1" t="s">
        <v>87</v>
      </c>
      <c r="F20" s="1">
        <v>15</v>
      </c>
      <c r="G20" s="1">
        <v>10</v>
      </c>
      <c r="H20" s="1">
        <f t="shared" si="0"/>
        <v>150</v>
      </c>
    </row>
    <row r="21" spans="1:8" x14ac:dyDescent="0.2">
      <c r="A21" s="1">
        <v>1020</v>
      </c>
      <c r="B21" s="2">
        <v>45293</v>
      </c>
      <c r="C21" s="1" t="s">
        <v>53</v>
      </c>
      <c r="D21" s="1" t="s">
        <v>86</v>
      </c>
      <c r="E21" s="1" t="s">
        <v>91</v>
      </c>
      <c r="F21" s="1">
        <v>18</v>
      </c>
      <c r="G21" s="1">
        <v>25</v>
      </c>
      <c r="H21" s="1">
        <f t="shared" si="0"/>
        <v>450</v>
      </c>
    </row>
    <row r="22" spans="1:8" x14ac:dyDescent="0.2">
      <c r="A22" s="1">
        <v>1021</v>
      </c>
      <c r="B22" s="2">
        <v>45324</v>
      </c>
      <c r="C22" s="1" t="s">
        <v>54</v>
      </c>
      <c r="D22" s="1" t="s">
        <v>83</v>
      </c>
      <c r="E22" s="1" t="s">
        <v>90</v>
      </c>
      <c r="F22" s="1">
        <v>9</v>
      </c>
      <c r="G22" s="1">
        <v>50</v>
      </c>
      <c r="H22" s="1">
        <f t="shared" si="0"/>
        <v>450</v>
      </c>
    </row>
    <row r="23" spans="1:8" x14ac:dyDescent="0.2">
      <c r="A23" s="1">
        <v>1022</v>
      </c>
      <c r="B23" s="2">
        <v>45353</v>
      </c>
      <c r="C23" s="1" t="s">
        <v>55</v>
      </c>
      <c r="D23" s="1" t="s">
        <v>84</v>
      </c>
      <c r="E23" s="1" t="s">
        <v>88</v>
      </c>
      <c r="F23" s="1">
        <v>35</v>
      </c>
      <c r="G23" s="1">
        <v>5</v>
      </c>
      <c r="H23" s="1">
        <f t="shared" si="0"/>
        <v>175</v>
      </c>
    </row>
    <row r="24" spans="1:8" x14ac:dyDescent="0.2">
      <c r="A24" s="1">
        <v>1023</v>
      </c>
      <c r="B24" s="2">
        <v>45384</v>
      </c>
      <c r="C24" s="1" t="s">
        <v>56</v>
      </c>
      <c r="D24" s="1" t="s">
        <v>85</v>
      </c>
      <c r="E24" s="1" t="s">
        <v>89</v>
      </c>
      <c r="F24" s="1">
        <v>30</v>
      </c>
      <c r="G24" s="1">
        <v>8</v>
      </c>
      <c r="H24" s="1">
        <f t="shared" si="0"/>
        <v>240</v>
      </c>
    </row>
    <row r="25" spans="1:8" x14ac:dyDescent="0.2">
      <c r="A25" s="1">
        <v>1024</v>
      </c>
      <c r="B25" s="2">
        <v>45445</v>
      </c>
      <c r="C25" s="1" t="s">
        <v>57</v>
      </c>
      <c r="D25" s="1" t="s">
        <v>86</v>
      </c>
      <c r="E25" s="1" t="s">
        <v>90</v>
      </c>
      <c r="F25" s="1">
        <v>11</v>
      </c>
      <c r="G25" s="1">
        <v>50</v>
      </c>
      <c r="H25" s="1">
        <f t="shared" si="0"/>
        <v>550</v>
      </c>
    </row>
    <row r="26" spans="1:8" x14ac:dyDescent="0.2">
      <c r="A26" s="1">
        <v>1025</v>
      </c>
      <c r="B26" s="2">
        <v>45475</v>
      </c>
      <c r="C26" s="1" t="s">
        <v>58</v>
      </c>
      <c r="D26" s="1" t="s">
        <v>83</v>
      </c>
      <c r="E26" s="1" t="s">
        <v>87</v>
      </c>
      <c r="F26" s="1">
        <v>14</v>
      </c>
      <c r="G26" s="1">
        <v>10</v>
      </c>
      <c r="H26" s="1">
        <f t="shared" si="0"/>
        <v>140</v>
      </c>
    </row>
    <row r="27" spans="1:8" x14ac:dyDescent="0.2">
      <c r="A27" s="1">
        <v>1026</v>
      </c>
      <c r="B27" s="2">
        <v>45506</v>
      </c>
      <c r="C27" s="1" t="s">
        <v>59</v>
      </c>
      <c r="D27" s="1" t="s">
        <v>84</v>
      </c>
      <c r="E27" s="1" t="s">
        <v>91</v>
      </c>
      <c r="F27" s="1">
        <v>16</v>
      </c>
      <c r="G27" s="1">
        <v>25</v>
      </c>
      <c r="H27" s="1">
        <f t="shared" si="0"/>
        <v>400</v>
      </c>
    </row>
    <row r="28" spans="1:8" x14ac:dyDescent="0.2">
      <c r="A28" s="1">
        <v>1027</v>
      </c>
      <c r="B28" s="2">
        <v>45537</v>
      </c>
      <c r="C28" s="1" t="s">
        <v>60</v>
      </c>
      <c r="D28" s="1" t="s">
        <v>85</v>
      </c>
      <c r="E28" s="1" t="s">
        <v>88</v>
      </c>
      <c r="F28" s="1">
        <v>22</v>
      </c>
      <c r="G28" s="1">
        <v>5</v>
      </c>
      <c r="H28" s="1">
        <f t="shared" si="0"/>
        <v>110</v>
      </c>
    </row>
    <row r="29" spans="1:8" x14ac:dyDescent="0.2">
      <c r="A29" s="1">
        <v>1028</v>
      </c>
      <c r="B29" s="2">
        <v>45567</v>
      </c>
      <c r="C29" s="1" t="s">
        <v>61</v>
      </c>
      <c r="D29" s="1" t="s">
        <v>86</v>
      </c>
      <c r="E29" s="1" t="s">
        <v>89</v>
      </c>
      <c r="F29" s="1">
        <v>27</v>
      </c>
      <c r="G29" s="1">
        <v>8</v>
      </c>
      <c r="H29" s="1">
        <f t="shared" si="0"/>
        <v>216</v>
      </c>
    </row>
    <row r="30" spans="1:8" x14ac:dyDescent="0.2">
      <c r="A30" s="1">
        <v>1029</v>
      </c>
      <c r="B30" s="2">
        <v>45628</v>
      </c>
      <c r="C30" s="1" t="s">
        <v>62</v>
      </c>
      <c r="D30" s="1" t="s">
        <v>83</v>
      </c>
      <c r="E30" s="1" t="s">
        <v>90</v>
      </c>
      <c r="F30" s="1">
        <v>13</v>
      </c>
      <c r="G30" s="1">
        <v>50</v>
      </c>
      <c r="H30" s="1">
        <f t="shared" si="0"/>
        <v>650</v>
      </c>
    </row>
    <row r="31" spans="1:8" x14ac:dyDescent="0.2">
      <c r="A31" s="1">
        <v>1030</v>
      </c>
      <c r="B31" s="3" t="s">
        <v>20</v>
      </c>
      <c r="C31" s="1" t="s">
        <v>63</v>
      </c>
      <c r="D31" s="1" t="s">
        <v>84</v>
      </c>
      <c r="E31" s="1" t="s">
        <v>87</v>
      </c>
      <c r="F31" s="1">
        <v>32</v>
      </c>
      <c r="G31" s="1">
        <v>10</v>
      </c>
      <c r="H31" s="1">
        <f t="shared" si="0"/>
        <v>320</v>
      </c>
    </row>
    <row r="32" spans="1:8" x14ac:dyDescent="0.2">
      <c r="A32" s="1">
        <v>1031</v>
      </c>
      <c r="B32" s="4" t="s">
        <v>21</v>
      </c>
      <c r="C32" s="1" t="s">
        <v>64</v>
      </c>
      <c r="D32" s="1" t="s">
        <v>85</v>
      </c>
      <c r="E32" s="1" t="s">
        <v>91</v>
      </c>
      <c r="F32" s="1">
        <v>10</v>
      </c>
      <c r="G32" s="1">
        <v>25</v>
      </c>
      <c r="H32" s="1">
        <f t="shared" si="0"/>
        <v>250</v>
      </c>
    </row>
    <row r="33" spans="1:8" x14ac:dyDescent="0.2">
      <c r="A33" s="1">
        <v>1032</v>
      </c>
      <c r="B33" s="4" t="s">
        <v>22</v>
      </c>
      <c r="C33" s="1" t="s">
        <v>65</v>
      </c>
      <c r="D33" s="1" t="s">
        <v>86</v>
      </c>
      <c r="E33" s="1" t="s">
        <v>88</v>
      </c>
      <c r="F33" s="1">
        <v>18</v>
      </c>
      <c r="G33" s="1">
        <v>5</v>
      </c>
      <c r="H33" s="1">
        <f t="shared" si="0"/>
        <v>90</v>
      </c>
    </row>
    <row r="34" spans="1:8" x14ac:dyDescent="0.2">
      <c r="A34" s="1">
        <v>1033</v>
      </c>
      <c r="B34" s="4" t="s">
        <v>23</v>
      </c>
      <c r="C34" s="1" t="s">
        <v>66</v>
      </c>
      <c r="D34" s="1" t="s">
        <v>83</v>
      </c>
      <c r="E34" s="1" t="s">
        <v>89</v>
      </c>
      <c r="F34" s="1">
        <v>22</v>
      </c>
      <c r="G34" s="1">
        <v>8</v>
      </c>
      <c r="H34" s="1">
        <f t="shared" si="0"/>
        <v>176</v>
      </c>
    </row>
    <row r="35" spans="1:8" x14ac:dyDescent="0.2">
      <c r="A35" s="1">
        <v>1034</v>
      </c>
      <c r="B35" s="4" t="s">
        <v>24</v>
      </c>
      <c r="C35" s="1" t="s">
        <v>67</v>
      </c>
      <c r="D35" s="1" t="s">
        <v>84</v>
      </c>
      <c r="E35" s="1" t="s">
        <v>90</v>
      </c>
      <c r="F35" s="1">
        <v>17</v>
      </c>
      <c r="G35" s="1">
        <v>50</v>
      </c>
      <c r="H35" s="1">
        <f t="shared" si="0"/>
        <v>850</v>
      </c>
    </row>
    <row r="36" spans="1:8" x14ac:dyDescent="0.2">
      <c r="A36" s="1">
        <v>1035</v>
      </c>
      <c r="B36" s="4" t="s">
        <v>25</v>
      </c>
      <c r="C36" s="1" t="s">
        <v>68</v>
      </c>
      <c r="D36" s="1" t="s">
        <v>85</v>
      </c>
      <c r="E36" s="1" t="s">
        <v>87</v>
      </c>
      <c r="F36" s="1">
        <v>19</v>
      </c>
      <c r="G36" s="1">
        <v>10</v>
      </c>
      <c r="H36" s="1">
        <f t="shared" si="0"/>
        <v>190</v>
      </c>
    </row>
    <row r="37" spans="1:8" x14ac:dyDescent="0.2">
      <c r="A37" s="1">
        <v>1036</v>
      </c>
      <c r="B37" s="4" t="s">
        <v>26</v>
      </c>
      <c r="C37" s="1" t="s">
        <v>69</v>
      </c>
      <c r="D37" s="1" t="s">
        <v>86</v>
      </c>
      <c r="E37" s="1" t="s">
        <v>91</v>
      </c>
      <c r="F37" s="1">
        <v>15</v>
      </c>
      <c r="G37" s="1">
        <v>25</v>
      </c>
      <c r="H37" s="1">
        <f t="shared" si="0"/>
        <v>375</v>
      </c>
    </row>
    <row r="38" spans="1:8" x14ac:dyDescent="0.2">
      <c r="A38" s="1">
        <v>1037</v>
      </c>
      <c r="B38" s="4" t="s">
        <v>27</v>
      </c>
      <c r="C38" s="1" t="s">
        <v>70</v>
      </c>
      <c r="D38" s="1" t="s">
        <v>83</v>
      </c>
      <c r="E38" s="1" t="s">
        <v>88</v>
      </c>
      <c r="F38" s="1">
        <v>28</v>
      </c>
      <c r="G38" s="1">
        <v>5</v>
      </c>
      <c r="H38" s="1">
        <f t="shared" si="0"/>
        <v>140</v>
      </c>
    </row>
    <row r="39" spans="1:8" x14ac:dyDescent="0.2">
      <c r="A39" s="1">
        <v>1038</v>
      </c>
      <c r="B39" s="4" t="s">
        <v>28</v>
      </c>
      <c r="C39" s="1" t="s">
        <v>71</v>
      </c>
      <c r="D39" s="1" t="s">
        <v>84</v>
      </c>
      <c r="E39" s="1" t="s">
        <v>89</v>
      </c>
      <c r="F39" s="1">
        <v>24</v>
      </c>
      <c r="G39" s="1">
        <v>8</v>
      </c>
      <c r="H39" s="1">
        <f t="shared" si="0"/>
        <v>192</v>
      </c>
    </row>
    <row r="40" spans="1:8" x14ac:dyDescent="0.2">
      <c r="A40" s="1">
        <v>1039</v>
      </c>
      <c r="B40" s="4" t="s">
        <v>29</v>
      </c>
      <c r="C40" s="1" t="s">
        <v>72</v>
      </c>
      <c r="D40" s="1" t="s">
        <v>85</v>
      </c>
      <c r="E40" s="1" t="s">
        <v>90</v>
      </c>
      <c r="F40" s="1">
        <v>16</v>
      </c>
      <c r="G40" s="1">
        <v>50</v>
      </c>
      <c r="H40" s="1">
        <f t="shared" si="0"/>
        <v>800</v>
      </c>
    </row>
    <row r="41" spans="1:8" x14ac:dyDescent="0.2">
      <c r="A41" s="1">
        <v>1040</v>
      </c>
      <c r="B41" s="4" t="s">
        <v>30</v>
      </c>
      <c r="C41" s="1" t="s">
        <v>73</v>
      </c>
      <c r="D41" s="1" t="s">
        <v>86</v>
      </c>
      <c r="E41" s="1" t="s">
        <v>87</v>
      </c>
      <c r="F41" s="1">
        <v>27</v>
      </c>
      <c r="G41" s="1">
        <v>10</v>
      </c>
      <c r="H41" s="1">
        <f t="shared" si="0"/>
        <v>270</v>
      </c>
    </row>
    <row r="42" spans="1:8" x14ac:dyDescent="0.2">
      <c r="A42" s="1">
        <v>1041</v>
      </c>
      <c r="B42" s="4" t="s">
        <v>31</v>
      </c>
      <c r="C42" s="1" t="s">
        <v>74</v>
      </c>
      <c r="D42" s="1" t="s">
        <v>83</v>
      </c>
      <c r="E42" s="1" t="s">
        <v>91</v>
      </c>
      <c r="F42" s="1">
        <v>21</v>
      </c>
      <c r="G42" s="1">
        <v>25</v>
      </c>
      <c r="H42" s="1">
        <f t="shared" si="0"/>
        <v>525</v>
      </c>
    </row>
    <row r="43" spans="1:8" x14ac:dyDescent="0.2">
      <c r="A43" s="1">
        <v>1042</v>
      </c>
      <c r="B43" s="4" t="s">
        <v>32</v>
      </c>
      <c r="C43" s="1" t="s">
        <v>75</v>
      </c>
      <c r="D43" s="1" t="s">
        <v>84</v>
      </c>
      <c r="E43" s="1" t="s">
        <v>88</v>
      </c>
      <c r="F43" s="1">
        <v>30</v>
      </c>
      <c r="G43" s="1">
        <v>5</v>
      </c>
      <c r="H43" s="1">
        <f t="shared" si="0"/>
        <v>150</v>
      </c>
    </row>
    <row r="44" spans="1:8" x14ac:dyDescent="0.2">
      <c r="A44" s="1">
        <v>1043</v>
      </c>
      <c r="B44" s="2">
        <v>45294</v>
      </c>
      <c r="C44" s="1" t="s">
        <v>76</v>
      </c>
      <c r="D44" s="1" t="s">
        <v>85</v>
      </c>
      <c r="E44" s="1" t="s">
        <v>89</v>
      </c>
      <c r="F44" s="1">
        <v>26</v>
      </c>
      <c r="G44" s="1">
        <v>8</v>
      </c>
      <c r="H44" s="1">
        <f t="shared" si="0"/>
        <v>208</v>
      </c>
    </row>
    <row r="45" spans="1:8" x14ac:dyDescent="0.2">
      <c r="A45" s="1">
        <v>1044</v>
      </c>
      <c r="B45" s="2">
        <v>45325</v>
      </c>
      <c r="C45" s="1" t="s">
        <v>77</v>
      </c>
      <c r="D45" s="1" t="s">
        <v>86</v>
      </c>
      <c r="E45" s="1" t="s">
        <v>90</v>
      </c>
      <c r="F45" s="1">
        <v>14</v>
      </c>
      <c r="G45" s="1">
        <v>50</v>
      </c>
      <c r="H45" s="1">
        <f t="shared" si="0"/>
        <v>700</v>
      </c>
    </row>
    <row r="46" spans="1:8" x14ac:dyDescent="0.2">
      <c r="A46" s="1">
        <v>1045</v>
      </c>
      <c r="B46" s="2">
        <v>45354</v>
      </c>
      <c r="C46" s="1" t="s">
        <v>78</v>
      </c>
      <c r="D46" s="1" t="s">
        <v>83</v>
      </c>
      <c r="E46" s="1" t="s">
        <v>87</v>
      </c>
      <c r="F46" s="1">
        <v>20</v>
      </c>
      <c r="G46" s="1">
        <v>10</v>
      </c>
      <c r="H46" s="1">
        <f t="shared" si="0"/>
        <v>200</v>
      </c>
    </row>
    <row r="47" spans="1:8" x14ac:dyDescent="0.2">
      <c r="A47" s="1">
        <v>1046</v>
      </c>
      <c r="B47" s="2">
        <v>45385</v>
      </c>
      <c r="C47" s="1" t="s">
        <v>79</v>
      </c>
      <c r="D47" s="1" t="s">
        <v>84</v>
      </c>
      <c r="E47" s="1" t="s">
        <v>91</v>
      </c>
      <c r="F47" s="1">
        <v>17</v>
      </c>
      <c r="G47" s="1">
        <v>25</v>
      </c>
      <c r="H47" s="1">
        <f t="shared" si="0"/>
        <v>425</v>
      </c>
    </row>
    <row r="48" spans="1:8" x14ac:dyDescent="0.2">
      <c r="A48" s="1">
        <v>1047</v>
      </c>
      <c r="B48" s="2">
        <v>45415</v>
      </c>
      <c r="C48" s="1" t="s">
        <v>80</v>
      </c>
      <c r="D48" s="1" t="s">
        <v>85</v>
      </c>
      <c r="E48" s="1" t="s">
        <v>88</v>
      </c>
      <c r="F48" s="1">
        <v>19</v>
      </c>
      <c r="G48" s="1">
        <v>5</v>
      </c>
      <c r="H48" s="1">
        <f t="shared" si="0"/>
        <v>95</v>
      </c>
    </row>
    <row r="49" spans="1:8" x14ac:dyDescent="0.2">
      <c r="A49" s="1">
        <v>1048</v>
      </c>
      <c r="B49" s="2">
        <v>45446</v>
      </c>
      <c r="C49" s="1" t="s">
        <v>81</v>
      </c>
      <c r="D49" s="1" t="s">
        <v>86</v>
      </c>
      <c r="E49" s="1" t="s">
        <v>89</v>
      </c>
      <c r="F49" s="1">
        <v>32</v>
      </c>
      <c r="G49" s="1">
        <v>8</v>
      </c>
      <c r="H49" s="1">
        <f t="shared" si="0"/>
        <v>256</v>
      </c>
    </row>
    <row r="50" spans="1:8" x14ac:dyDescent="0.2">
      <c r="A50" s="1">
        <v>1049</v>
      </c>
      <c r="B50" s="2">
        <v>45476</v>
      </c>
      <c r="C50" s="1" t="s">
        <v>43</v>
      </c>
      <c r="D50" s="1" t="s">
        <v>83</v>
      </c>
      <c r="E50" s="1" t="s">
        <v>90</v>
      </c>
      <c r="F50" s="1">
        <v>12</v>
      </c>
      <c r="G50" s="1">
        <v>50</v>
      </c>
      <c r="H50" s="1">
        <f t="shared" si="0"/>
        <v>600</v>
      </c>
    </row>
    <row r="51" spans="1:8" x14ac:dyDescent="0.2">
      <c r="A51" s="1">
        <v>1050</v>
      </c>
      <c r="B51" s="2">
        <v>45507</v>
      </c>
      <c r="C51" s="1" t="s">
        <v>82</v>
      </c>
      <c r="D51" s="1" t="s">
        <v>84</v>
      </c>
      <c r="E51" s="1" t="s">
        <v>87</v>
      </c>
      <c r="F51" s="1">
        <v>25</v>
      </c>
      <c r="G51" s="1">
        <v>10</v>
      </c>
      <c r="H51" s="1">
        <f t="shared" si="0"/>
        <v>250</v>
      </c>
    </row>
    <row r="52" spans="1:8" x14ac:dyDescent="0.2">
      <c r="A52" s="1"/>
      <c r="B52" s="1"/>
      <c r="C52" s="1"/>
      <c r="D52" s="1"/>
      <c r="E52" s="1"/>
      <c r="F52" s="1"/>
      <c r="G52" s="1"/>
      <c r="H52" s="1"/>
    </row>
    <row r="53" spans="1:8" x14ac:dyDescent="0.2">
      <c r="A53" s="1"/>
      <c r="B53" s="1"/>
      <c r="C53" s="1"/>
      <c r="D53" s="1"/>
      <c r="E53" s="1"/>
      <c r="F53" s="1"/>
      <c r="G53" s="1"/>
      <c r="H53" s="1"/>
    </row>
    <row r="54" spans="1:8" x14ac:dyDescent="0.2">
      <c r="A54" s="1"/>
      <c r="B54" s="1"/>
      <c r="C54" s="1"/>
      <c r="D54" s="1"/>
      <c r="E54" s="1"/>
      <c r="F54" s="1"/>
      <c r="G54" s="1"/>
      <c r="H54" s="1"/>
    </row>
    <row r="55" spans="1:8" x14ac:dyDescent="0.2">
      <c r="A55" s="1"/>
      <c r="B55" s="1"/>
      <c r="C55" s="1"/>
      <c r="D55" s="1"/>
      <c r="E55" s="1"/>
      <c r="F55" s="1"/>
      <c r="G55" s="1"/>
      <c r="H55" s="1"/>
    </row>
    <row r="56" spans="1:8" x14ac:dyDescent="0.2">
      <c r="A56" s="1"/>
      <c r="B56" s="1"/>
      <c r="C56" s="1"/>
      <c r="D56" s="1"/>
      <c r="E56" s="1"/>
      <c r="F56" s="1"/>
      <c r="G56" s="1"/>
      <c r="H56" s="1"/>
    </row>
    <row r="58" spans="1:8" x14ac:dyDescent="0.2">
      <c r="B58" s="9" t="s">
        <v>109</v>
      </c>
      <c r="C58" s="1">
        <f>COUNTA(C2:C51)</f>
        <v>50</v>
      </c>
    </row>
    <row r="59" spans="1:8" x14ac:dyDescent="0.2">
      <c r="B59" s="9" t="s">
        <v>101</v>
      </c>
      <c r="C59" s="1">
        <f>SUM(H2:H51)</f>
        <v>16543</v>
      </c>
    </row>
    <row r="60" spans="1:8" ht="27.75" x14ac:dyDescent="0.2">
      <c r="B60" s="13" t="s">
        <v>110</v>
      </c>
      <c r="C60" s="1">
        <f>H2+H6+H10+H14+H18+H22+H26+H30+H34+H38+H42+H46+H50</f>
        <v>4941</v>
      </c>
    </row>
    <row r="61" spans="1:8" x14ac:dyDescent="0.2">
      <c r="B61" s="1"/>
      <c r="C61" s="1"/>
    </row>
    <row r="62" spans="1:8" x14ac:dyDescent="0.2">
      <c r="B62" s="1"/>
      <c r="C62" s="1"/>
    </row>
    <row r="69" spans="2:14" x14ac:dyDescent="0.2">
      <c r="N69" t="s">
        <v>112</v>
      </c>
    </row>
    <row r="73" spans="2:14" x14ac:dyDescent="0.2">
      <c r="B73" s="9" t="s">
        <v>92</v>
      </c>
      <c r="C73" s="10" t="s">
        <v>96</v>
      </c>
      <c r="D73" s="11" t="s">
        <v>98</v>
      </c>
      <c r="E73" s="11" t="s">
        <v>97</v>
      </c>
    </row>
    <row r="74" spans="2:14" x14ac:dyDescent="0.2">
      <c r="B74" s="1" t="s">
        <v>93</v>
      </c>
      <c r="C74" s="7">
        <v>500000</v>
      </c>
      <c r="D74" s="8">
        <v>0.1</v>
      </c>
      <c r="E74" s="1">
        <f>C74*D74</f>
        <v>50000</v>
      </c>
    </row>
    <row r="75" spans="2:14" x14ac:dyDescent="0.2">
      <c r="B75" s="1" t="s">
        <v>94</v>
      </c>
      <c r="C75" s="7">
        <v>10500</v>
      </c>
      <c r="D75" s="8">
        <v>0.1</v>
      </c>
      <c r="E75" s="1">
        <f t="shared" ref="E75" si="1">C75*D75</f>
        <v>1050</v>
      </c>
    </row>
    <row r="76" spans="2:14" x14ac:dyDescent="0.2">
      <c r="B76" s="1" t="s">
        <v>95</v>
      </c>
      <c r="C76" s="7">
        <v>25000</v>
      </c>
      <c r="D76" s="8">
        <v>0.1</v>
      </c>
      <c r="E76" s="1">
        <f>C76*D76</f>
        <v>2500</v>
      </c>
    </row>
    <row r="77" spans="2:14" x14ac:dyDescent="0.2">
      <c r="B77" s="1"/>
      <c r="C77" s="7"/>
      <c r="D77" s="1"/>
      <c r="E77" s="1"/>
    </row>
    <row r="78" spans="2:14" x14ac:dyDescent="0.2">
      <c r="B78" s="1"/>
      <c r="C78" s="7"/>
      <c r="D78" s="1"/>
      <c r="E78" s="1"/>
    </row>
    <row r="80" spans="2:14" x14ac:dyDescent="0.2">
      <c r="B80" s="9" t="s">
        <v>92</v>
      </c>
      <c r="C80" s="10" t="s">
        <v>96</v>
      </c>
      <c r="D80" s="11" t="s">
        <v>98</v>
      </c>
      <c r="E80" s="11" t="s">
        <v>99</v>
      </c>
    </row>
    <row r="81" spans="2:6" x14ac:dyDescent="0.2">
      <c r="B81" s="1" t="s">
        <v>93</v>
      </c>
      <c r="C81" s="7">
        <v>500000</v>
      </c>
      <c r="D81" s="8">
        <v>0.1</v>
      </c>
      <c r="E81" s="1">
        <f>C81*$D$81</f>
        <v>50000</v>
      </c>
    </row>
    <row r="82" spans="2:6" x14ac:dyDescent="0.2">
      <c r="B82" s="1" t="s">
        <v>94</v>
      </c>
      <c r="C82" s="7">
        <v>10500</v>
      </c>
      <c r="D82" s="8"/>
      <c r="E82" s="1">
        <f>C82*$D$81</f>
        <v>1050</v>
      </c>
    </row>
    <row r="83" spans="2:6" x14ac:dyDescent="0.2">
      <c r="B83" s="1" t="s">
        <v>95</v>
      </c>
      <c r="C83" s="7">
        <v>25000</v>
      </c>
      <c r="D83" s="8"/>
      <c r="E83" s="1">
        <f>C83*$D$81</f>
        <v>2500</v>
      </c>
    </row>
    <row r="85" spans="2:6" x14ac:dyDescent="0.2">
      <c r="B85" s="9" t="s">
        <v>92</v>
      </c>
      <c r="C85" s="10" t="s">
        <v>96</v>
      </c>
      <c r="D85" s="11" t="s">
        <v>98</v>
      </c>
      <c r="E85" s="11" t="s">
        <v>100</v>
      </c>
    </row>
    <row r="86" spans="2:6" x14ac:dyDescent="0.2">
      <c r="B86" s="1" t="s">
        <v>93</v>
      </c>
      <c r="C86" s="7">
        <v>500000</v>
      </c>
      <c r="D86" s="8">
        <v>0.1</v>
      </c>
      <c r="E86" s="1">
        <f>C86*D$86</f>
        <v>50000</v>
      </c>
    </row>
    <row r="87" spans="2:6" x14ac:dyDescent="0.2">
      <c r="B87" s="1" t="s">
        <v>94</v>
      </c>
      <c r="C87" s="7">
        <v>10500</v>
      </c>
      <c r="D87" s="8"/>
      <c r="E87" s="1">
        <f>C87*D$86</f>
        <v>1050</v>
      </c>
    </row>
    <row r="88" spans="2:6" x14ac:dyDescent="0.2">
      <c r="B88" s="1" t="s">
        <v>95</v>
      </c>
      <c r="C88" s="7">
        <v>25000</v>
      </c>
      <c r="D88" s="8"/>
      <c r="E88" s="1">
        <f>C88*D$86</f>
        <v>2500</v>
      </c>
    </row>
    <row r="90" spans="2:6" x14ac:dyDescent="0.2">
      <c r="B90" s="9" t="s">
        <v>92</v>
      </c>
      <c r="C90" s="10" t="s">
        <v>96</v>
      </c>
      <c r="D90" s="1"/>
    </row>
    <row r="91" spans="2:6" x14ac:dyDescent="0.2">
      <c r="B91" s="1" t="s">
        <v>93</v>
      </c>
      <c r="C91" s="7">
        <v>500000</v>
      </c>
      <c r="D91" s="1"/>
    </row>
    <row r="92" spans="2:6" x14ac:dyDescent="0.2">
      <c r="B92" s="1" t="s">
        <v>94</v>
      </c>
      <c r="C92" s="7">
        <v>10500</v>
      </c>
      <c r="D92" s="1"/>
    </row>
    <row r="93" spans="2:6" x14ac:dyDescent="0.2">
      <c r="B93" s="9" t="s">
        <v>102</v>
      </c>
      <c r="C93" s="12">
        <f>C91+C92</f>
        <v>510500</v>
      </c>
      <c r="D93" s="1"/>
    </row>
    <row r="94" spans="2:6" x14ac:dyDescent="0.2">
      <c r="B94" s="1"/>
      <c r="C94" s="1"/>
      <c r="D94" s="1"/>
    </row>
    <row r="96" spans="2:6" x14ac:dyDescent="0.2">
      <c r="B96" s="9" t="s">
        <v>103</v>
      </c>
      <c r="C96" s="9" t="s">
        <v>96</v>
      </c>
      <c r="D96" s="9" t="s">
        <v>104</v>
      </c>
      <c r="E96" s="1"/>
      <c r="F96" s="1"/>
    </row>
    <row r="97" spans="2:6" x14ac:dyDescent="0.2">
      <c r="B97" s="1" t="s">
        <v>105</v>
      </c>
      <c r="C97" s="1">
        <v>90</v>
      </c>
      <c r="D97" s="1">
        <v>1000</v>
      </c>
      <c r="E97" s="1"/>
      <c r="F97" s="1"/>
    </row>
    <row r="98" spans="2:6" x14ac:dyDescent="0.2">
      <c r="B98" s="1" t="s">
        <v>106</v>
      </c>
      <c r="C98" s="1">
        <v>150</v>
      </c>
      <c r="D98" s="1">
        <v>1200</v>
      </c>
      <c r="E98" s="1"/>
      <c r="F98" s="1"/>
    </row>
    <row r="99" spans="2:6" x14ac:dyDescent="0.2">
      <c r="B99" s="1" t="s">
        <v>107</v>
      </c>
      <c r="C99" s="1">
        <v>250</v>
      </c>
      <c r="D99" s="1">
        <v>2500</v>
      </c>
      <c r="E99" s="1"/>
      <c r="F99" s="1"/>
    </row>
    <row r="100" spans="2:6" x14ac:dyDescent="0.2">
      <c r="B100" s="9" t="s">
        <v>108</v>
      </c>
      <c r="C100" s="9"/>
      <c r="D100" s="9">
        <f>AVERAGEIFS(D97:D99, C97:C99, "&gt;100", C97:C99, "&lt;300")</f>
        <v>1850</v>
      </c>
      <c r="E100" s="1"/>
      <c r="F100" s="1"/>
    </row>
    <row r="101" spans="2:6" x14ac:dyDescent="0.2">
      <c r="B101" s="1"/>
      <c r="C101" s="1"/>
      <c r="D101" s="1"/>
      <c r="E10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Kumar</dc:creator>
  <dcterms:created xsi:type="dcterms:W3CDTF">2025-11-19T00:04:21Z</dcterms:created>
</cp:coreProperties>
</file>